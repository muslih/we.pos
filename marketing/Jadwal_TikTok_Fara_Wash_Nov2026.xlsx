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rategi" sheetId="1" state="visible" r:id="rId3"/>
    <sheet name="Jadwal" sheetId="2" state="visible" r:id="rId4"/>
    <sheet name="Bank hook" sheetId="3" state="visible" r:id="rId5"/>
  </sheets>
  <definedNames>
    <definedName function="false" hidden="true" localSheetId="1" name="_xlnm._FilterDatabase" vbProcedure="false">Jadwal!$A$3:$P$33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Isi target sendiri — angka ini hanya contoh.</t>
        </r>
      </text>
    </comment>
  </commentList>
</comments>
</file>

<file path=xl/sharedStrings.xml><?xml version="1.0" encoding="utf-8"?>
<sst xmlns="http://schemas.openxmlformats.org/spreadsheetml/2006/main" count="445" uniqueCount="243">
  <si>
    <t xml:space="preserve">Rencana Konten TikTok — Fara Wash</t>
  </si>
  <si>
    <t xml:space="preserve">Periode: 1–30 November 2026 · 30 video (1 per hari)</t>
  </si>
  <si>
    <t xml:space="preserve">Tujuan</t>
  </si>
  <si>
    <t xml:space="preserve">Sasaran</t>
  </si>
  <si>
    <t xml:space="preserve">Pemilik &amp; kasir laundry kiloan/kecil di Indonesia</t>
  </si>
  <si>
    <t xml:space="preserve">Tujuan utama</t>
  </si>
  <si>
    <t xml:space="preserve">Kenalkan Fara Wash, arahkan penonton ke fara-wash.vercel.app (link di bio)</t>
  </si>
  <si>
    <t xml:space="preserve">Target bulan ini</t>
  </si>
  <si>
    <t xml:space="preserve">Ubah sesuai kondisi akun — mis. 500 follower &amp; 20 laundry mencoba aplikasi</t>
  </si>
  <si>
    <t xml:space="preserve">Pilar konten</t>
  </si>
  <si>
    <t xml:space="preserve">Demo Fitur (9)</t>
  </si>
  <si>
    <t xml:space="preserve">Rekam layar fitur nyata: catat order, status, laporan, kasir, sinkron, PWA</t>
  </si>
  <si>
    <t xml:space="preserve">Tips Bisnis (7)</t>
  </si>
  <si>
    <t xml:space="preserve">Edukasi pemilik laundry: harga per kg, pengeluaran, promo, komplain, laba</t>
  </si>
  <si>
    <t xml:space="preserve">Masalah (4)</t>
  </si>
  <si>
    <t xml:space="preserve">Skit/POV masalah sehari-hari laundry yang relatable, solusi di akhir</t>
  </si>
  <si>
    <t xml:space="preserve">Cerita/BTS (5)</t>
  </si>
  <si>
    <t xml:space="preserve">Cerita pembuat aplikasi, proses bikin, recap — membangun kepercayaan</t>
  </si>
  <si>
    <t xml:space="preserve">Trend (3) &amp; Interaksi (2)</t>
  </si>
  <si>
    <t xml:space="preserve">Ikut audio/trend yang sedang ramai, balas komentar, LIVE</t>
  </si>
  <si>
    <t xml:space="preserve">Ajakan (2)</t>
  </si>
  <si>
    <t xml:space="preserve">Ajakan langsung mencoba aplikasi</t>
  </si>
  <si>
    <t xml:space="preserve">Jam tayang (WITA)</t>
  </si>
  <si>
    <t xml:space="preserve">Senin–Jumat</t>
  </si>
  <si>
    <t xml:space="preserve">19:00 WITA (18:00 WIB) — jam pulang kerja/santai</t>
  </si>
  <si>
    <t xml:space="preserve">Sabtu–Minggu</t>
  </si>
  <si>
    <t xml:space="preserve">11:00 WITA (10:00 WIB)</t>
  </si>
  <si>
    <t xml:space="preserve">Catatan</t>
  </si>
  <si>
    <t xml:space="preserve">Ini titik awal umum. Setelah minggu ke-2, cek TikTok Analytics → Followers → jam aktif, lalu geser jadwal.</t>
  </si>
  <si>
    <t xml:space="preserve">Cara produksi</t>
  </si>
  <si>
    <t xml:space="preserve">Batch rekam</t>
  </si>
  <si>
    <t xml:space="preserve">Setiap Sabtu/Minggu rekam 7 video untuk minggu berikutnya (rekam layar bisa sekaligus).</t>
  </si>
  <si>
    <t xml:space="preserve">Format</t>
  </si>
  <si>
    <t xml:space="preserve">Vertikal 9:16, 15–45 detik, teks di layar (banyak yang nonton tanpa suara).</t>
  </si>
  <si>
    <t xml:space="preserve">Hook</t>
  </si>
  <si>
    <t xml:space="preserve">3 detik pertama menentukan. Mulai dengan pertanyaan/masalah, bukan logo.</t>
  </si>
  <si>
    <t xml:space="preserve">Bio</t>
  </si>
  <si>
    <t xml:space="preserve">Isi: "Aplikasi kasir laundry di HP" + link fara-wash.vercel.app</t>
  </si>
  <si>
    <t xml:space="preserve">Kejujuran</t>
  </si>
  <si>
    <t xml:space="preserve">Testimoni hanya dari pengguna nyata, dengan izin. Jangan buat ulasan palsu.</t>
  </si>
  <si>
    <t xml:space="preserve">Ringkasan progres (otomatis dari tab Jadwal)</t>
  </si>
  <si>
    <t xml:space="preserve">Video sudah tayang</t>
  </si>
  <si>
    <t xml:space="preserve">Total views</t>
  </si>
  <si>
    <t xml:space="preserve">Total like</t>
  </si>
  <si>
    <t xml:space="preserve">Total follower baru</t>
  </si>
  <si>
    <t xml:space="preserve">Rata-rata views per video tayang</t>
  </si>
  <si>
    <t xml:space="preserve">Jadwal Posting TikTok Fara Wash — November 2026</t>
  </si>
  <si>
    <t xml:space="preserve">Kolom kuning = diisi sendiri (Status lewat dropdown; Views/Like/Follower diisi ±3 hari setelah tayang). Jam dalam WITA.</t>
  </si>
  <si>
    <t xml:space="preserve">Tanggal</t>
  </si>
  <si>
    <t xml:space="preserve">Hari</t>
  </si>
  <si>
    <t xml:space="preserve">Jam (WITA)</t>
  </si>
  <si>
    <t xml:space="preserve">Minggu &amp; tema</t>
  </si>
  <si>
    <t xml:space="preserve">Pilar</t>
  </si>
  <si>
    <t xml:space="preserve">Judul / ide</t>
  </si>
  <si>
    <t xml:space="preserve">Hook (3 detik pertama)</t>
  </si>
  <si>
    <t xml:space="preserve">Isi / alur singkat</t>
  </si>
  <si>
    <t xml:space="preserve">CTA</t>
  </si>
  <si>
    <t xml:space="preserve">Hashtag</t>
  </si>
  <si>
    <t xml:space="preserve">Status</t>
  </si>
  <si>
    <t xml:space="preserve">Views</t>
  </si>
  <si>
    <t xml:space="preserve">Like</t>
  </si>
  <si>
    <t xml:space="preserve">Follower baru</t>
  </si>
  <si>
    <t xml:space="preserve">Minggu</t>
  </si>
  <si>
    <t xml:space="preserve">11:00</t>
  </si>
  <si>
    <t xml:space="preserve">M1: Kenalan &amp; masalah pemilik laundry</t>
  </si>
  <si>
    <t xml:space="preserve">Cerita/BTS</t>
  </si>
  <si>
    <t xml:space="preserve">Perkenalan: kenapa saya bikin Fara Wash</t>
  </si>
  <si>
    <t xml:space="preserve">"Saya bikin aplikasi kasir laundry sendiri. Ini alasannya."</t>
  </si>
  <si>
    <t xml:space="preserve">Cerita singkat masalah laundry yang kamu lihat → solusi → tampilkan layar app 3 detik.</t>
  </si>
  <si>
    <t xml:space="preserve">Slide foto (5 gambar)</t>
  </si>
  <si>
    <t xml:space="preserve">Follow untuk lihat cara pakainya</t>
  </si>
  <si>
    <t xml:space="preserve">#aplikasilaundry #usahalaundry #bisnislaundry #laundrykiloan #umkm #farawash</t>
  </si>
  <si>
    <t xml:space="preserve">Ide</t>
  </si>
  <si>
    <t xml:space="preserve">Gambar: slides/01_…</t>
  </si>
  <si>
    <t xml:space="preserve">Senin</t>
  </si>
  <si>
    <t xml:space="preserve">19:00</t>
  </si>
  <si>
    <t xml:space="preserve">Masalah</t>
  </si>
  <si>
    <t xml:space="preserve">Nota kertas hilang, pelanggan marah</t>
  </si>
  <si>
    <t xml:space="preserve">"Nota hilang… cucian yang mana ya, Bu?"</t>
  </si>
  <si>
    <t xml:space="preserve">Skit 2 orang: pelanggan datang tanpa nota, kasir bingung. Akhiri: cari pakai nama/HP di app dalam 2 detik.</t>
  </si>
  <si>
    <t xml:space="preserve">Tag teman yang punya laundry</t>
  </si>
  <si>
    <t xml:space="preserve">Gambar: slides/02_…</t>
  </si>
  <si>
    <t xml:space="preserve">Selasa</t>
  </si>
  <si>
    <t xml:space="preserve">Demo Fitur</t>
  </si>
  <si>
    <t xml:space="preserve">Catat order dalam 15 detik</t>
  </si>
  <si>
    <t xml:space="preserve">"Order masuk, 15 detik selesai dicatat."</t>
  </si>
  <si>
    <t xml:space="preserve">Rekam layar HP: pilih pelanggan → layanan → berat → bayar. Pakai timer di pojok.</t>
  </si>
  <si>
    <t xml:space="preserve">Slide foto (4 gambar)</t>
  </si>
  <si>
    <t xml:space="preserve">Coba sendiri, link di bio</t>
  </si>
  <si>
    <t xml:space="preserve">Gambar: slides/03_…</t>
  </si>
  <si>
    <t xml:space="preserve">Rabu</t>
  </si>
  <si>
    <t xml:space="preserve">Tips Bisnis</t>
  </si>
  <si>
    <t xml:space="preserve">Cara hitung harga per kg biar nggak rugi</t>
  </si>
  <si>
    <t xml:space="preserve">"Harga Rp7.000/kg kamu itu untung atau rugi?"</t>
  </si>
  <si>
    <t xml:space="preserve">Rincian biaya per kg: deterjen, listrik, air, gaji, sewa → harga minimal. Teks di layar.</t>
  </si>
  <si>
    <t xml:space="preserve">Simpan video ini</t>
  </si>
  <si>
    <t xml:space="preserve">Gambar: slides/04_…</t>
  </si>
  <si>
    <t xml:space="preserve">Kamis</t>
  </si>
  <si>
    <t xml:space="preserve">POV: tutup buku jam 11 malam</t>
  </si>
  <si>
    <t xml:space="preserve">"POV: laundry tutup jam 9, kamu baru selesai hitung jam 11."</t>
  </si>
  <si>
    <t xml:space="preserve">Humor relatable: kalkulator, buku catatan, uang receh. Ending: laporan otomatis di app.</t>
  </si>
  <si>
    <t xml:space="preserve">Siapa yang begini juga? Komen</t>
  </si>
  <si>
    <t xml:space="preserve">Gambar: slides/05_…</t>
  </si>
  <si>
    <t xml:space="preserve">Jumat</t>
  </si>
  <si>
    <t xml:space="preserve">Status cucian: antre → cuci → setrika → siap ambil</t>
  </si>
  <si>
    <t xml:space="preserve">"Pelanggan nggak perlu nanya 'udah selesai belum?' lagi."</t>
  </si>
  <si>
    <t xml:space="preserve">Tunjukkan perubahan status &amp; daftar cucian dalam proses.</t>
  </si>
  <si>
    <t xml:space="preserve">Link di bio</t>
  </si>
  <si>
    <t xml:space="preserve">Gambar: slides/06_…</t>
  </si>
  <si>
    <t xml:space="preserve">Sabtu</t>
  </si>
  <si>
    <t xml:space="preserve">Trend</t>
  </si>
  <si>
    <t xml:space="preserve">Laundry sebelum vs sesudah pakai aplikasi</t>
  </si>
  <si>
    <t xml:space="preserve">Transisi trend "before/after"</t>
  </si>
  <si>
    <t xml:space="preserve">Before: meja penuh nota &amp; buku. After: HP + app rapi.</t>
  </si>
  <si>
    <t xml:space="preserve">Follow</t>
  </si>
  <si>
    <t xml:space="preserve">Gambar: slides/07_…</t>
  </si>
  <si>
    <t xml:space="preserve">M2: Fitur inti Fara Wash</t>
  </si>
  <si>
    <t xml:space="preserve">Di balik layar: bikin aplikasi sambil ngopi</t>
  </si>
  <si>
    <t xml:space="preserve">"Jam 2 pagi, bug-nya belum ketemu…"</t>
  </si>
  <si>
    <t xml:space="preserve">Timelapse ngoding + 1 fitur baru yang ditambahkan minggu ini.</t>
  </si>
  <si>
    <t xml:space="preserve">Fitur apa yang kamu mau? Komen</t>
  </si>
  <si>
    <t xml:space="preserve">Gambar: slides/08_…</t>
  </si>
  <si>
    <t xml:space="preserve">Laporan keuangan &amp; grafik laba otomatis</t>
  </si>
  <si>
    <t xml:space="preserve">"Bulan ini laundry kamu untung berapa? Saya tahu dalam 3 detik."</t>
  </si>
  <si>
    <t xml:space="preserve">Geser carousel grafik: pemasukan vs pengeluaran, laba bersih.</t>
  </si>
  <si>
    <t xml:space="preserve">Gambar: slides/09_…</t>
  </si>
  <si>
    <t xml:space="preserve">5 pengeluaran laundry yang sering lupa dicatat</t>
  </si>
  <si>
    <t xml:space="preserve">"Uangnya ke mana? Mungkin bocor di sini."</t>
  </si>
  <si>
    <t xml:space="preserve">Plastik, parfum, servis mesin, gas setrika, ongkir antar-jemput.</t>
  </si>
  <si>
    <t xml:space="preserve">Slide foto (8 gambar)</t>
  </si>
  <si>
    <t xml:space="preserve">Simpan &amp; share ke partner bisnis</t>
  </si>
  <si>
    <t xml:space="preserve">Gambar: slides/10_…</t>
  </si>
  <si>
    <t xml:space="preserve">Akun kasir terpisah, pemilik pantau dari HP</t>
  </si>
  <si>
    <t xml:space="preserve">"Lagi di rumah, tapi tahu semua order di laundry."</t>
  </si>
  <si>
    <t xml:space="preserve">Login kasir (username) vs pemilik; pemilik lihat order masuk dari jauh.</t>
  </si>
  <si>
    <t xml:space="preserve">Coba untuk tim kamu</t>
  </si>
  <si>
    <t xml:space="preserve">Gambar: slides/11_…</t>
  </si>
  <si>
    <t xml:space="preserve">Uang kas selisih di akhir hari</t>
  </si>
  <si>
    <t xml:space="preserve">"Kas kurang Rp50 ribu. Siapa yang salah?"</t>
  </si>
  <si>
    <t xml:space="preserve">Skit drama ringan → semua transaksi tercatat per kasir di app.</t>
  </si>
  <si>
    <t xml:space="preserve">Pernah ngalamin? Komen</t>
  </si>
  <si>
    <t xml:space="preserve">Gambar: slides/12_…</t>
  </si>
  <si>
    <t xml:space="preserve">Grafik jam ramai untuk atur shift karyawan</t>
  </si>
  <si>
    <t xml:space="preserve">"Ternyata laundry saya paling ramai jam segini."</t>
  </si>
  <si>
    <t xml:space="preserve">Tunjukkan grafik jam ramai 06–21 + saran atur shift.</t>
  </si>
  <si>
    <t xml:space="preserve">Gambar: slides/13_…</t>
  </si>
  <si>
    <t xml:space="preserve">Interaksi</t>
  </si>
  <si>
    <t xml:space="preserve">Jawab komentar terbanyak minggu ini</t>
  </si>
  <si>
    <t xml:space="preserve">Reply video ke komentar pilihan</t>
  </si>
  <si>
    <t xml:space="preserve">Pilih 1–2 pertanyaan penonton, jawab sambil demo.</t>
  </si>
  <si>
    <t xml:space="preserve">Tanya lagi di komentar</t>
  </si>
  <si>
    <t xml:space="preserve">Gambar: slides/14_…</t>
  </si>
  <si>
    <t xml:space="preserve">M3: Tips bisnis &amp; kepercayaan</t>
  </si>
  <si>
    <t xml:space="preserve">Kenapa fokus ke laundry kecil &amp; kiloan</t>
  </si>
  <si>
    <t xml:space="preserve">"Aplikasi laundry mahal &amp; ribet. Makanya saya bikin yang simpel."</t>
  </si>
  <si>
    <t xml:space="preserve">Cerita visi: simpel, bisa di HP, tanpa komputer.</t>
  </si>
  <si>
    <t xml:space="preserve">Gambar: slides/15_…</t>
  </si>
  <si>
    <t xml:space="preserve">Musim hujan = cucian numpuk. 3 ide promo</t>
  </si>
  <si>
    <t xml:space="preserve">"Musim hujan itu rezeki tukang laundry. Asal kamu siap."</t>
  </si>
  <si>
    <t xml:space="preserve">Promo antar-jemput, paket bulanan, diskon kg ke-5. Ingatkan atur kapasitas.</t>
  </si>
  <si>
    <t xml:space="preserve">Slide foto (6 gambar)</t>
  </si>
  <si>
    <t xml:space="preserve">Gambar: slides/16_…</t>
  </si>
  <si>
    <t xml:space="preserve">Pasang di HP tanpa Play Store</t>
  </si>
  <si>
    <t xml:space="preserve">"Nggak perlu download di Play Store."</t>
  </si>
  <si>
    <t xml:space="preserve">Buka situs → Tambahkan ke layar utama → ikon muncul. Andalkan PWA.</t>
  </si>
  <si>
    <t xml:space="preserve">Coba sekarang, link di bio</t>
  </si>
  <si>
    <t xml:space="preserve">Gambar: slides/17_…</t>
  </si>
  <si>
    <t xml:space="preserve">Cara tangani komplain baju rusak/luntur</t>
  </si>
  <si>
    <t xml:space="preserve">"Pelanggan bilang bajunya luntur. Kamu jawab apa?"</t>
  </si>
  <si>
    <t xml:space="preserve">3 langkah: dengar, cek catatan order, tawarkan solusi. Pentingnya catatan kondisi barang.</t>
  </si>
  <si>
    <t xml:space="preserve">Share ke kasir kamu</t>
  </si>
  <si>
    <t xml:space="preserve">Gambar: slides/18_…</t>
  </si>
  <si>
    <t xml:space="preserve">Data aman &amp; tersinkron antar HP</t>
  </si>
  <si>
    <t xml:space="preserve">"HP kasir rusak? Data tetap aman."</t>
  </si>
  <si>
    <t xml:space="preserve">Tunjukkan order dibuat di HP A muncul di HP B.</t>
  </si>
  <si>
    <t xml:space="preserve">Gambar: slides/19_…</t>
  </si>
  <si>
    <t xml:space="preserve">Lihat layanan terlaris, fokus jualan di situ</t>
  </si>
  <si>
    <t xml:space="preserve">"Layanan mana yang paling menghasilkan uang buat kamu?"</t>
  </si>
  <si>
    <t xml:space="preserve">Grafik layanan terlaris → contoh keputusan (naikkan harga express, promosikan bed cover).</t>
  </si>
  <si>
    <t xml:space="preserve">Simpan</t>
  </si>
  <si>
    <t xml:space="preserve">Gambar: slides/20_…</t>
  </si>
  <si>
    <t xml:space="preserve">Opini pemilik laundry yang nggak populer</t>
  </si>
  <si>
    <t xml:space="preserve">"Opini pemilik laundry yang mungkin nggak populer"</t>
  </si>
  <si>
    <t xml:space="preserve">3 slide kutipan: express bukan sulap, simpan nota, ambil cucian tepat waktu.</t>
  </si>
  <si>
    <t xml:space="preserve">Gambar: slides/21_…</t>
  </si>
  <si>
    <t xml:space="preserve">M4: Ajakan coba &amp; bukti nyata</t>
  </si>
  <si>
    <t xml:space="preserve">Ajakan</t>
  </si>
  <si>
    <t xml:space="preserve">Sehari di laundry pakai Fara Wash</t>
  </si>
  <si>
    <t xml:space="preserve">"Sehari di laundry pakai Fara Wash"</t>
  </si>
  <si>
    <t xml:space="preserve">Alur jam 07.00 terima order, 12.00 update status, 16.00 siap diambil, 21.00 cek laporan.</t>
  </si>
  <si>
    <t xml:space="preserve">Mau laundry kamu ditampilkan? DM</t>
  </si>
  <si>
    <t xml:space="preserve">Gambar: slides/22_…</t>
  </si>
  <si>
    <t xml:space="preserve">Tutorial 60 detik: daftar sampai order pertama</t>
  </si>
  <si>
    <t xml:space="preserve">"Dari nol sampai order pertama, 60 detik."</t>
  </si>
  <si>
    <t xml:space="preserve">Daftar laundry → tambah layanan &amp; harga → catat order → selesai.</t>
  </si>
  <si>
    <t xml:space="preserve">Link di bio + panduan lengkap</t>
  </si>
  <si>
    <t xml:space="preserve">Gambar: slides/23_…</t>
  </si>
  <si>
    <t xml:space="preserve">Hitung laba bersih bulanan yang benar</t>
  </si>
  <si>
    <t xml:space="preserve">"Omzet besar belum tentu untung."</t>
  </si>
  <si>
    <t xml:space="preserve">Omzet − semua pengeluaran = laba bersih. Contoh angka sederhana.</t>
  </si>
  <si>
    <t xml:space="preserve">Gambar: slides/24_…</t>
  </si>
  <si>
    <t xml:space="preserve">"Kak, cucian saya udah selesai belum?"</t>
  </si>
  <si>
    <t xml:space="preserve">Notifikasi WA bertubi-tubi</t>
  </si>
  <si>
    <t xml:space="preserve">Skit chat menumpuk → cek status di app, jawab cepat.</t>
  </si>
  <si>
    <t xml:space="preserve">Tag teman pemilik laundry</t>
  </si>
  <si>
    <t xml:space="preserve">Gambar: slides/25_…</t>
  </si>
  <si>
    <t xml:space="preserve">Pelanggan teratas → kasih reward</t>
  </si>
  <si>
    <t xml:space="preserve">"Pelanggan paling setia kamu siapa? App ini tahu."</t>
  </si>
  <si>
    <t xml:space="preserve">Grafik pelanggan teratas + ide reward (gratis 1 kg, parfum premium).</t>
  </si>
  <si>
    <t xml:space="preserve">Gambar: slides/26_…</t>
  </si>
  <si>
    <t xml:space="preserve">12:00</t>
  </si>
  <si>
    <t xml:space="preserve">LIVE: demo &amp; tanya jawab</t>
  </si>
  <si>
    <t xml:space="preserve">Judul LIVE: "Tanya apa saja soal usaha laundry"</t>
  </si>
  <si>
    <t xml:space="preserve">Live 30–45 menit: demo app, jawab pertanyaan, ajak coba. (Butuh 1.000 follower untuk LIVE; jika belum, ganti video Q&amp;A.)</t>
  </si>
  <si>
    <t xml:space="preserve">Slide foto (3 gambar)</t>
  </si>
  <si>
    <t xml:space="preserve">Coba app, link di bio</t>
  </si>
  <si>
    <t xml:space="preserve">Slide pengumuman 12:00, LIVE 19:30 WITA</t>
  </si>
  <si>
    <t xml:space="preserve">Hal yang sering diucapkan pemilik laundry</t>
  </si>
  <si>
    <t xml:space="preserve">"Things laundry owners say…"</t>
  </si>
  <si>
    <t xml:space="preserve">Kompilasi kalimat lucu: "Parfumnya yang mana, Kak?", "Besok sore jadi ya".</t>
  </si>
  <si>
    <t xml:space="preserve">Gambar: slides/28_…</t>
  </si>
  <si>
    <t xml:space="preserve">Recap 1 bulan bikin konten &amp; aplikasi</t>
  </si>
  <si>
    <t xml:space="preserve">"30 hari posting di TikTok, ini hasilnya."</t>
  </si>
  <si>
    <t xml:space="preserve">Angka nyata (follower, pengguna baru), pelajaran, rencana bulan depan.</t>
  </si>
  <si>
    <t xml:space="preserve">Slide foto (7 gambar)</t>
  </si>
  <si>
    <t xml:space="preserve">Follow untuk bulan depan</t>
  </si>
  <si>
    <t xml:space="preserve">Gambar: slides/29_…</t>
  </si>
  <si>
    <t xml:space="preserve">Ajakan coba Fara Wash + panduan</t>
  </si>
  <si>
    <t xml:space="preserve">"Kalau kamu punya laundry, coba ini."</t>
  </si>
  <si>
    <t xml:space="preserve">Rangkuman 3 fitur terbaik dalam 30 dtk + tunjukkan halaman panduan.</t>
  </si>
  <si>
    <t xml:space="preserve">Gambar: slides/30_…</t>
  </si>
  <si>
    <t xml:space="preserve">Cadangan hook &amp; ide (kalau ada hari kosong / ingin ganti)</t>
  </si>
  <si>
    <t xml:space="preserve">"Kalau kamu punya laundry, jangan skip video ini."</t>
  </si>
  <si>
    <t xml:space="preserve">"Kesalahan nomor 1 pemilik laundry baru…"</t>
  </si>
  <si>
    <t xml:space="preserve">"Berapa sih modal buka laundry kiloan?"</t>
  </si>
  <si>
    <t xml:space="preserve">"Kasir saya nggak bisa curang lagi. Ini caranya."</t>
  </si>
  <si>
    <t xml:space="preserve">"Saya cek laporan laundry dari rumah, tiap malam."</t>
  </si>
  <si>
    <t xml:space="preserve">Ide cadangan</t>
  </si>
  <si>
    <t xml:space="preserve">Day in the life pemilik laundry (minta izin teman/pengguna)</t>
  </si>
  <si>
    <t xml:space="preserve">Mitos vs fakta: setrika uap vs setrika biasa</t>
  </si>
  <si>
    <t xml:space="preserve">Reaksi ke komentar "aplikasi laundry itu ribet"</t>
  </si>
  <si>
    <t xml:space="preserve">Checklist buka laundry baru (peralatan + aplikasi)</t>
  </si>
  <si>
    <t xml:space="preserve">Tebak berat cucian (game interaktif dengan penonton)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</si>
</sst>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dd\ mmm\ yyyy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563EB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  <font>
      <b val="true"/>
      <sz val="14"/>
      <color rgb="FF2563EB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2563EB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  <fill>
      <patternFill patternType="solid">
        <fgColor rgb="FFFFF7CC"/>
        <bgColor rgb="FFFFF3D6"/>
      </patternFill>
    </fill>
    <fill>
      <patternFill patternType="solid">
        <fgColor rgb="FFF3F8FE"/>
        <bgColor rgb="FFE8F7F7"/>
      </patternFill>
    </fill>
    <fill>
      <patternFill patternType="solid">
        <fgColor rgb="FFF1E9FB"/>
        <bgColor rgb="FFEAF2FD"/>
      </patternFill>
    </fill>
    <fill>
      <patternFill patternType="solid">
        <fgColor rgb="FFFDE8E1"/>
        <bgColor rgb="FFFCE4EC"/>
      </patternFill>
    </fill>
    <fill>
      <patternFill patternType="solid">
        <fgColor rgb="FFE3EEFC"/>
        <bgColor rgb="FFEAF2FD"/>
      </patternFill>
    </fill>
    <fill>
      <patternFill patternType="solid">
        <fgColor rgb="FFE5F5EA"/>
        <bgColor rgb="FFE8F7F7"/>
      </patternFill>
    </fill>
    <fill>
      <patternFill patternType="solid">
        <fgColor rgb="FFFFF3D6"/>
        <bgColor rgb="FFFFF7CC"/>
      </patternFill>
    </fill>
    <fill>
      <patternFill patternType="solid">
        <fgColor rgb="FFEAF2FD"/>
        <bgColor rgb="FFE8F7F7"/>
      </patternFill>
    </fill>
    <fill>
      <patternFill patternType="solid">
        <fgColor rgb="FFE8F7F7"/>
        <bgColor rgb="FFEAF2FD"/>
      </patternFill>
    </fill>
    <fill>
      <patternFill patternType="solid">
        <fgColor rgb="FFFCE4EC"/>
        <bgColor rgb="FFFDE8E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2563EB"/>
          <bgColor rgb="FF000000"/>
        </patternFill>
      </fill>
    </dxf>
    <dxf>
      <fill>
        <patternFill patternType="solid">
          <fgColor rgb="FFEAF2FD"/>
          <bgColor rgb="FF000000"/>
        </patternFill>
      </fill>
    </dxf>
    <dxf>
      <fill>
        <patternFill patternType="solid">
          <fgColor rgb="FFF3F8F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3EEFC"/>
          <bgColor rgb="FF000000"/>
        </patternFill>
      </fill>
    </dxf>
    <dxf>
      <fill>
        <patternFill patternType="solid">
          <fgColor rgb="FFE5F5EA"/>
          <bgColor rgb="FF000000"/>
        </patternFill>
      </fill>
    </dxf>
    <dxf>
      <fill>
        <patternFill patternType="solid">
          <fgColor rgb="FFE8F7F7"/>
          <bgColor rgb="FF000000"/>
        </patternFill>
      </fill>
    </dxf>
    <dxf>
      <fill>
        <patternFill patternType="solid">
          <fgColor rgb="FFF1E9FB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FDE8E1"/>
          <bgColor rgb="FF000000"/>
        </patternFill>
      </fill>
    </dxf>
    <dxf>
      <fill>
        <patternFill patternType="solid">
          <fgColor rgb="FFFFF3D6"/>
          <bgColor rgb="FF000000"/>
        </patternFill>
      </fill>
    </dxf>
    <dxf>
      <fill>
        <patternFill patternType="solid">
          <fgColor rgb="FFFFF7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CE4EC"/>
      <rgbColor rgb="FF808080"/>
      <rgbColor rgb="FF9999FF"/>
      <rgbColor rgb="FF993366"/>
      <rgbColor rgb="FFFFF7CC"/>
      <rgbColor rgb="FFE8F7F7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F5EA"/>
      <rgbColor rgb="FFE3EEFC"/>
      <rgbColor rgb="FFFFF3D6"/>
      <rgbColor rgb="FFEAF2FD"/>
      <rgbColor rgb="FFF1E9FB"/>
      <rgbColor rgb="FFF3F8FE"/>
      <rgbColor rgb="FFFDE8E1"/>
      <rgbColor rgb="FF2563EB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9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/>
    </row>
    <row r="4" customFormat="false" ht="15" hidden="false" customHeight="true" outlineLevel="0" collapsed="false">
      <c r="A4" s="4" t="s">
        <v>2</v>
      </c>
      <c r="B4" s="5"/>
    </row>
    <row r="5" customFormat="false" ht="15" hidden="false" customHeight="true" outlineLevel="0" collapsed="false">
      <c r="A5" s="6" t="s">
        <v>3</v>
      </c>
      <c r="B5" s="7" t="s">
        <v>4</v>
      </c>
    </row>
    <row r="6" customFormat="false" ht="15" hidden="false" customHeight="true" outlineLevel="0" collapsed="false">
      <c r="A6" s="6" t="s">
        <v>5</v>
      </c>
      <c r="B6" s="7" t="s">
        <v>6</v>
      </c>
    </row>
    <row r="7" customFormat="false" ht="15" hidden="false" customHeight="true" outlineLevel="0" collapsed="false">
      <c r="A7" s="6" t="s">
        <v>7</v>
      </c>
      <c r="B7" s="8" t="s">
        <v>8</v>
      </c>
    </row>
    <row r="8" customFormat="false" ht="15" hidden="false" customHeight="true" outlineLevel="0" collapsed="false">
      <c r="A8" s="3"/>
    </row>
    <row r="9" customFormat="false" ht="15" hidden="false" customHeight="true" outlineLevel="0" collapsed="false">
      <c r="A9" s="4" t="s">
        <v>9</v>
      </c>
      <c r="B9" s="5"/>
    </row>
    <row r="10" customFormat="false" ht="15" hidden="false" customHeight="true" outlineLevel="0" collapsed="false">
      <c r="A10" s="6" t="s">
        <v>10</v>
      </c>
      <c r="B10" s="7" t="s">
        <v>11</v>
      </c>
    </row>
    <row r="11" customFormat="false" ht="15" hidden="false" customHeight="true" outlineLevel="0" collapsed="false">
      <c r="A11" s="6" t="s">
        <v>12</v>
      </c>
      <c r="B11" s="7" t="s">
        <v>13</v>
      </c>
    </row>
    <row r="12" customFormat="false" ht="15" hidden="false" customHeight="true" outlineLevel="0" collapsed="false">
      <c r="A12" s="6" t="s">
        <v>14</v>
      </c>
      <c r="B12" s="7" t="s">
        <v>15</v>
      </c>
    </row>
    <row r="13" customFormat="false" ht="15" hidden="false" customHeight="true" outlineLevel="0" collapsed="false">
      <c r="A13" s="6" t="s">
        <v>16</v>
      </c>
      <c r="B13" s="7" t="s">
        <v>17</v>
      </c>
    </row>
    <row r="14" customFormat="false" ht="15" hidden="false" customHeight="true" outlineLevel="0" collapsed="false">
      <c r="A14" s="6" t="s">
        <v>18</v>
      </c>
      <c r="B14" s="7" t="s">
        <v>19</v>
      </c>
    </row>
    <row r="15" customFormat="false" ht="15" hidden="false" customHeight="true" outlineLevel="0" collapsed="false">
      <c r="A15" s="6" t="s">
        <v>20</v>
      </c>
      <c r="B15" s="7" t="s">
        <v>21</v>
      </c>
    </row>
    <row r="16" customFormat="false" ht="15" hidden="false" customHeight="true" outlineLevel="0" collapsed="false">
      <c r="A16" s="3"/>
    </row>
    <row r="17" customFormat="false" ht="15" hidden="false" customHeight="true" outlineLevel="0" collapsed="false">
      <c r="A17" s="4" t="s">
        <v>22</v>
      </c>
      <c r="B17" s="5"/>
    </row>
    <row r="18" customFormat="false" ht="15" hidden="false" customHeight="true" outlineLevel="0" collapsed="false">
      <c r="A18" s="6" t="s">
        <v>23</v>
      </c>
      <c r="B18" s="7" t="s">
        <v>24</v>
      </c>
    </row>
    <row r="19" customFormat="false" ht="15" hidden="false" customHeight="true" outlineLevel="0" collapsed="false">
      <c r="A19" s="6" t="s">
        <v>25</v>
      </c>
      <c r="B19" s="7" t="s">
        <v>26</v>
      </c>
    </row>
    <row r="20" customFormat="false" ht="26.25" hidden="false" customHeight="true" outlineLevel="0" collapsed="false">
      <c r="A20" s="6" t="s">
        <v>27</v>
      </c>
      <c r="B20" s="7" t="s">
        <v>28</v>
      </c>
    </row>
    <row r="21" customFormat="false" ht="15" hidden="false" customHeight="true" outlineLevel="0" collapsed="false">
      <c r="A21" s="3"/>
    </row>
    <row r="22" customFormat="false" ht="15" hidden="false" customHeight="true" outlineLevel="0" collapsed="false">
      <c r="A22" s="4" t="s">
        <v>29</v>
      </c>
      <c r="B22" s="5"/>
    </row>
    <row r="23" customFormat="false" ht="15" hidden="false" customHeight="true" outlineLevel="0" collapsed="false">
      <c r="A23" s="6" t="s">
        <v>30</v>
      </c>
      <c r="B23" s="7" t="s">
        <v>31</v>
      </c>
    </row>
    <row r="24" customFormat="false" ht="15" hidden="false" customHeight="true" outlineLevel="0" collapsed="false">
      <c r="A24" s="6" t="s">
        <v>32</v>
      </c>
      <c r="B24" s="7" t="s">
        <v>33</v>
      </c>
    </row>
    <row r="25" customFormat="false" ht="15" hidden="false" customHeight="true" outlineLevel="0" collapsed="false">
      <c r="A25" s="6" t="s">
        <v>34</v>
      </c>
      <c r="B25" s="7" t="s">
        <v>35</v>
      </c>
    </row>
    <row r="26" customFormat="false" ht="15" hidden="false" customHeight="true" outlineLevel="0" collapsed="false">
      <c r="A26" s="6" t="s">
        <v>36</v>
      </c>
      <c r="B26" s="7" t="s">
        <v>37</v>
      </c>
    </row>
    <row r="27" customFormat="false" ht="15" hidden="false" customHeight="true" outlineLevel="0" collapsed="false">
      <c r="A27" s="6" t="s">
        <v>38</v>
      </c>
      <c r="B27" s="7" t="s">
        <v>39</v>
      </c>
    </row>
    <row r="28" customFormat="false" ht="15" hidden="false" customHeight="true" outlineLevel="0" collapsed="false">
      <c r="A28" s="3"/>
    </row>
    <row r="29" customFormat="false" ht="15" hidden="false" customHeight="true" outlineLevel="0" collapsed="false">
      <c r="A29" s="4" t="s">
        <v>40</v>
      </c>
      <c r="B29" s="5"/>
    </row>
    <row r="30" customFormat="false" ht="15" hidden="false" customHeight="true" outlineLevel="0" collapsed="false">
      <c r="A30" s="6" t="s">
        <v>41</v>
      </c>
      <c r="B30" s="9" t="n">
        <f aca="false">COUNTIF(Jadwal!L4:L33,"Tayang")</f>
        <v>0</v>
      </c>
    </row>
    <row r="31" customFormat="false" ht="15" hidden="false" customHeight="true" outlineLevel="0" collapsed="false">
      <c r="A31" s="6" t="s">
        <v>42</v>
      </c>
      <c r="B31" s="9" t="n">
        <f aca="false">SUM(Jadwal!M4:M33)</f>
        <v>0</v>
      </c>
    </row>
    <row r="32" customFormat="false" ht="15" hidden="false" customHeight="true" outlineLevel="0" collapsed="false">
      <c r="A32" s="6" t="s">
        <v>43</v>
      </c>
      <c r="B32" s="9" t="n">
        <f aca="false">SUM(Jadwal!N4:N33)</f>
        <v>0</v>
      </c>
    </row>
    <row r="33" customFormat="false" ht="15" hidden="false" customHeight="true" outlineLevel="0" collapsed="false">
      <c r="A33" s="6" t="s">
        <v>44</v>
      </c>
      <c r="B33" s="9" t="n">
        <f aca="false">SUM(Jadwal!O4:O33)</f>
        <v>0</v>
      </c>
    </row>
    <row r="34" customFormat="false" ht="15" hidden="false" customHeight="true" outlineLevel="0" collapsed="false">
      <c r="A34" s="6" t="s">
        <v>45</v>
      </c>
      <c r="B34" s="9" t="n">
        <f aca="false">IFERROR(SUM(Jadwal!M4:M33)/COUNTIF(Jadwal!L4:L33,"Tayang"),0)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G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9"/>
    <col collapsed="false" customWidth="true" hidden="false" outlineLevel="0" max="3" min="3" style="1" width="10"/>
    <col collapsed="false" customWidth="true" hidden="false" outlineLevel="0" max="4" min="4" style="1" width="24"/>
    <col collapsed="false" customWidth="true" hidden="false" outlineLevel="0" max="5" min="5" style="1" width="13"/>
    <col collapsed="false" customWidth="true" hidden="false" outlineLevel="0" max="6" min="6" style="1" width="32"/>
    <col collapsed="false" customWidth="true" hidden="false" outlineLevel="0" max="7" min="7" style="1" width="36"/>
    <col collapsed="false" customWidth="true" hidden="false" outlineLevel="0" max="8" min="8" style="1" width="52"/>
    <col collapsed="false" customWidth="true" hidden="false" outlineLevel="0" max="9" min="9" style="1" width="20"/>
    <col collapsed="false" customWidth="true" hidden="false" outlineLevel="0" max="10" min="10" style="1" width="26"/>
    <col collapsed="false" customWidth="true" hidden="false" outlineLevel="0" max="11" min="11" style="1" width="34"/>
    <col collapsed="false" customWidth="true" hidden="false" outlineLevel="0" max="12" min="12" style="1" width="12"/>
    <col collapsed="false" customWidth="true" hidden="false" outlineLevel="0" max="13" min="13" style="1" width="10"/>
    <col collapsed="false" customWidth="true" hidden="false" outlineLevel="0" max="14" min="14" style="1" width="9"/>
    <col collapsed="false" customWidth="true" hidden="false" outlineLevel="0" max="15" min="15" style="1" width="10"/>
    <col collapsed="false" customWidth="true" hidden="false" outlineLevel="0" max="16" min="16" style="1" width="24"/>
  </cols>
  <sheetData>
    <row r="1" customFormat="false" ht="17.25" hidden="false" customHeight="true" outlineLevel="0" collapsed="false">
      <c r="A1" s="10" t="s">
        <v>46</v>
      </c>
    </row>
    <row r="2" customFormat="false" ht="15" hidden="false" customHeight="true" outlineLevel="0" collapsed="false">
      <c r="A2" s="11" t="s">
        <v>47</v>
      </c>
    </row>
    <row r="3" customFormat="false" ht="30" hidden="false" customHeight="true" outlineLevel="0" collapsed="false">
      <c r="A3" s="12" t="s">
        <v>48</v>
      </c>
      <c r="B3" s="12" t="s">
        <v>49</v>
      </c>
      <c r="C3" s="12" t="s">
        <v>50</v>
      </c>
      <c r="D3" s="12" t="s">
        <v>51</v>
      </c>
      <c r="E3" s="12" t="s">
        <v>52</v>
      </c>
      <c r="F3" s="12" t="s">
        <v>53</v>
      </c>
      <c r="G3" s="12" t="s">
        <v>54</v>
      </c>
      <c r="H3" s="12" t="s">
        <v>55</v>
      </c>
      <c r="I3" s="12" t="s">
        <v>32</v>
      </c>
      <c r="J3" s="12" t="s">
        <v>56</v>
      </c>
      <c r="K3" s="12" t="s">
        <v>57</v>
      </c>
      <c r="L3" s="12" t="s">
        <v>58</v>
      </c>
      <c r="M3" s="12" t="s">
        <v>59</v>
      </c>
      <c r="N3" s="12" t="s">
        <v>60</v>
      </c>
      <c r="O3" s="12" t="s">
        <v>61</v>
      </c>
      <c r="P3" s="12" t="s">
        <v>27</v>
      </c>
    </row>
    <row r="4" customFormat="false" ht="34.5" hidden="false" customHeight="true" outlineLevel="0" collapsed="false">
      <c r="A4" s="13" t="n">
        <v>46327</v>
      </c>
      <c r="B4" s="14" t="s">
        <v>62</v>
      </c>
      <c r="C4" s="14" t="s">
        <v>63</v>
      </c>
      <c r="D4" s="14" t="s">
        <v>64</v>
      </c>
      <c r="E4" s="15" t="s">
        <v>65</v>
      </c>
      <c r="F4" s="16" t="s">
        <v>66</v>
      </c>
      <c r="G4" s="14" t="s">
        <v>67</v>
      </c>
      <c r="H4" s="14" t="s">
        <v>68</v>
      </c>
      <c r="I4" s="14" t="s">
        <v>69</v>
      </c>
      <c r="J4" s="14" t="s">
        <v>70</v>
      </c>
      <c r="K4" s="14" t="s">
        <v>71</v>
      </c>
      <c r="L4" s="17" t="s">
        <v>72</v>
      </c>
      <c r="M4" s="18"/>
      <c r="N4" s="18"/>
      <c r="O4" s="18"/>
      <c r="P4" s="17" t="s">
        <v>73</v>
      </c>
    </row>
    <row r="5" customFormat="false" ht="34.5" hidden="false" customHeight="true" outlineLevel="0" collapsed="false">
      <c r="A5" s="13" t="n">
        <v>46328</v>
      </c>
      <c r="B5" s="14" t="s">
        <v>74</v>
      </c>
      <c r="C5" s="14" t="s">
        <v>75</v>
      </c>
      <c r="D5" s="14" t="s">
        <v>64</v>
      </c>
      <c r="E5" s="19" t="s">
        <v>76</v>
      </c>
      <c r="F5" s="16" t="s">
        <v>77</v>
      </c>
      <c r="G5" s="14" t="s">
        <v>78</v>
      </c>
      <c r="H5" s="14" t="s">
        <v>79</v>
      </c>
      <c r="I5" s="14" t="s">
        <v>69</v>
      </c>
      <c r="J5" s="14" t="s">
        <v>80</v>
      </c>
      <c r="K5" s="14" t="s">
        <v>71</v>
      </c>
      <c r="L5" s="17" t="s">
        <v>72</v>
      </c>
      <c r="M5" s="18"/>
      <c r="N5" s="18"/>
      <c r="O5" s="18"/>
      <c r="P5" s="17" t="s">
        <v>81</v>
      </c>
    </row>
    <row r="6" customFormat="false" ht="34.5" hidden="false" customHeight="true" outlineLevel="0" collapsed="false">
      <c r="A6" s="13" t="n">
        <v>46329</v>
      </c>
      <c r="B6" s="14" t="s">
        <v>82</v>
      </c>
      <c r="C6" s="14" t="s">
        <v>75</v>
      </c>
      <c r="D6" s="14" t="s">
        <v>64</v>
      </c>
      <c r="E6" s="20" t="s">
        <v>83</v>
      </c>
      <c r="F6" s="16" t="s">
        <v>84</v>
      </c>
      <c r="G6" s="14" t="s">
        <v>85</v>
      </c>
      <c r="H6" s="14" t="s">
        <v>86</v>
      </c>
      <c r="I6" s="14" t="s">
        <v>87</v>
      </c>
      <c r="J6" s="14" t="s">
        <v>88</v>
      </c>
      <c r="K6" s="14" t="s">
        <v>71</v>
      </c>
      <c r="L6" s="17" t="s">
        <v>72</v>
      </c>
      <c r="M6" s="18"/>
      <c r="N6" s="18"/>
      <c r="O6" s="18"/>
      <c r="P6" s="17" t="s">
        <v>89</v>
      </c>
    </row>
    <row r="7" customFormat="false" ht="34.5" hidden="false" customHeight="true" outlineLevel="0" collapsed="false">
      <c r="A7" s="13" t="n">
        <v>46330</v>
      </c>
      <c r="B7" s="14" t="s">
        <v>90</v>
      </c>
      <c r="C7" s="14" t="s">
        <v>75</v>
      </c>
      <c r="D7" s="14" t="s">
        <v>64</v>
      </c>
      <c r="E7" s="21" t="s">
        <v>91</v>
      </c>
      <c r="F7" s="16" t="s">
        <v>92</v>
      </c>
      <c r="G7" s="14" t="s">
        <v>93</v>
      </c>
      <c r="H7" s="14" t="s">
        <v>94</v>
      </c>
      <c r="I7" s="14" t="s">
        <v>69</v>
      </c>
      <c r="J7" s="14" t="s">
        <v>95</v>
      </c>
      <c r="K7" s="14" t="s">
        <v>71</v>
      </c>
      <c r="L7" s="17" t="s">
        <v>72</v>
      </c>
      <c r="M7" s="18"/>
      <c r="N7" s="18"/>
      <c r="O7" s="18"/>
      <c r="P7" s="17" t="s">
        <v>96</v>
      </c>
    </row>
    <row r="8" customFormat="false" ht="34.5" hidden="false" customHeight="true" outlineLevel="0" collapsed="false">
      <c r="A8" s="13" t="n">
        <v>46331</v>
      </c>
      <c r="B8" s="14" t="s">
        <v>97</v>
      </c>
      <c r="C8" s="14" t="s">
        <v>75</v>
      </c>
      <c r="D8" s="14" t="s">
        <v>64</v>
      </c>
      <c r="E8" s="19" t="s">
        <v>76</v>
      </c>
      <c r="F8" s="16" t="s">
        <v>98</v>
      </c>
      <c r="G8" s="14" t="s">
        <v>99</v>
      </c>
      <c r="H8" s="14" t="s">
        <v>100</v>
      </c>
      <c r="I8" s="14" t="s">
        <v>87</v>
      </c>
      <c r="J8" s="14" t="s">
        <v>101</v>
      </c>
      <c r="K8" s="14" t="s">
        <v>71</v>
      </c>
      <c r="L8" s="17" t="s">
        <v>72</v>
      </c>
      <c r="M8" s="18"/>
      <c r="N8" s="18"/>
      <c r="O8" s="18"/>
      <c r="P8" s="17" t="s">
        <v>102</v>
      </c>
    </row>
    <row r="9" customFormat="false" ht="34.5" hidden="false" customHeight="true" outlineLevel="0" collapsed="false">
      <c r="A9" s="13" t="n">
        <v>46332</v>
      </c>
      <c r="B9" s="14" t="s">
        <v>103</v>
      </c>
      <c r="C9" s="14" t="s">
        <v>75</v>
      </c>
      <c r="D9" s="14" t="s">
        <v>64</v>
      </c>
      <c r="E9" s="20" t="s">
        <v>83</v>
      </c>
      <c r="F9" s="16" t="s">
        <v>104</v>
      </c>
      <c r="G9" s="14" t="s">
        <v>105</v>
      </c>
      <c r="H9" s="14" t="s">
        <v>106</v>
      </c>
      <c r="I9" s="14" t="s">
        <v>69</v>
      </c>
      <c r="J9" s="14" t="s">
        <v>107</v>
      </c>
      <c r="K9" s="14" t="s">
        <v>71</v>
      </c>
      <c r="L9" s="17" t="s">
        <v>72</v>
      </c>
      <c r="M9" s="18"/>
      <c r="N9" s="18"/>
      <c r="O9" s="18"/>
      <c r="P9" s="17" t="s">
        <v>108</v>
      </c>
    </row>
    <row r="10" customFormat="false" ht="34.5" hidden="false" customHeight="true" outlineLevel="0" collapsed="false">
      <c r="A10" s="13" t="n">
        <v>46333</v>
      </c>
      <c r="B10" s="14" t="s">
        <v>109</v>
      </c>
      <c r="C10" s="14" t="s">
        <v>63</v>
      </c>
      <c r="D10" s="14" t="s">
        <v>64</v>
      </c>
      <c r="E10" s="22" t="s">
        <v>110</v>
      </c>
      <c r="F10" s="16" t="s">
        <v>111</v>
      </c>
      <c r="G10" s="14" t="s">
        <v>112</v>
      </c>
      <c r="H10" s="14" t="s">
        <v>113</v>
      </c>
      <c r="I10" s="14" t="s">
        <v>69</v>
      </c>
      <c r="J10" s="14" t="s">
        <v>114</v>
      </c>
      <c r="K10" s="14" t="s">
        <v>71</v>
      </c>
      <c r="L10" s="17" t="s">
        <v>72</v>
      </c>
      <c r="M10" s="18"/>
      <c r="N10" s="18"/>
      <c r="O10" s="18"/>
      <c r="P10" s="17" t="s">
        <v>115</v>
      </c>
    </row>
    <row r="11" customFormat="false" ht="34.5" hidden="false" customHeight="true" outlineLevel="0" collapsed="false">
      <c r="A11" s="23" t="n">
        <v>46334</v>
      </c>
      <c r="B11" s="24" t="s">
        <v>62</v>
      </c>
      <c r="C11" s="24" t="s">
        <v>63</v>
      </c>
      <c r="D11" s="24" t="s">
        <v>116</v>
      </c>
      <c r="E11" s="15" t="s">
        <v>65</v>
      </c>
      <c r="F11" s="25" t="s">
        <v>117</v>
      </c>
      <c r="G11" s="24" t="s">
        <v>118</v>
      </c>
      <c r="H11" s="24" t="s">
        <v>119</v>
      </c>
      <c r="I11" s="24" t="s">
        <v>69</v>
      </c>
      <c r="J11" s="24" t="s">
        <v>120</v>
      </c>
      <c r="K11" s="24" t="s">
        <v>71</v>
      </c>
      <c r="L11" s="17" t="s">
        <v>72</v>
      </c>
      <c r="M11" s="18"/>
      <c r="N11" s="18"/>
      <c r="O11" s="18"/>
      <c r="P11" s="17" t="s">
        <v>121</v>
      </c>
    </row>
    <row r="12" customFormat="false" ht="34.5" hidden="false" customHeight="true" outlineLevel="0" collapsed="false">
      <c r="A12" s="23" t="n">
        <v>46335</v>
      </c>
      <c r="B12" s="24" t="s">
        <v>74</v>
      </c>
      <c r="C12" s="24" t="s">
        <v>75</v>
      </c>
      <c r="D12" s="24" t="s">
        <v>116</v>
      </c>
      <c r="E12" s="20" t="s">
        <v>83</v>
      </c>
      <c r="F12" s="25" t="s">
        <v>122</v>
      </c>
      <c r="G12" s="24" t="s">
        <v>123</v>
      </c>
      <c r="H12" s="24" t="s">
        <v>124</v>
      </c>
      <c r="I12" s="24" t="s">
        <v>69</v>
      </c>
      <c r="J12" s="24" t="s">
        <v>107</v>
      </c>
      <c r="K12" s="24" t="s">
        <v>71</v>
      </c>
      <c r="L12" s="17" t="s">
        <v>72</v>
      </c>
      <c r="M12" s="18"/>
      <c r="N12" s="18"/>
      <c r="O12" s="18"/>
      <c r="P12" s="17" t="s">
        <v>125</v>
      </c>
    </row>
    <row r="13" customFormat="false" ht="34.5" hidden="false" customHeight="true" outlineLevel="0" collapsed="false">
      <c r="A13" s="23" t="n">
        <v>46336</v>
      </c>
      <c r="B13" s="24" t="s">
        <v>82</v>
      </c>
      <c r="C13" s="24" t="s">
        <v>75</v>
      </c>
      <c r="D13" s="24" t="s">
        <v>116</v>
      </c>
      <c r="E13" s="21" t="s">
        <v>91</v>
      </c>
      <c r="F13" s="25" t="s">
        <v>126</v>
      </c>
      <c r="G13" s="24" t="s">
        <v>127</v>
      </c>
      <c r="H13" s="24" t="s">
        <v>128</v>
      </c>
      <c r="I13" s="24" t="s">
        <v>129</v>
      </c>
      <c r="J13" s="24" t="s">
        <v>130</v>
      </c>
      <c r="K13" s="24" t="s">
        <v>71</v>
      </c>
      <c r="L13" s="17" t="s">
        <v>72</v>
      </c>
      <c r="M13" s="18"/>
      <c r="N13" s="18"/>
      <c r="O13" s="18"/>
      <c r="P13" s="17" t="s">
        <v>131</v>
      </c>
    </row>
    <row r="14" customFormat="false" ht="34.5" hidden="false" customHeight="true" outlineLevel="0" collapsed="false">
      <c r="A14" s="23" t="n">
        <v>46337</v>
      </c>
      <c r="B14" s="24" t="s">
        <v>90</v>
      </c>
      <c r="C14" s="24" t="s">
        <v>75</v>
      </c>
      <c r="D14" s="24" t="s">
        <v>116</v>
      </c>
      <c r="E14" s="20" t="s">
        <v>83</v>
      </c>
      <c r="F14" s="25" t="s">
        <v>132</v>
      </c>
      <c r="G14" s="24" t="s">
        <v>133</v>
      </c>
      <c r="H14" s="24" t="s">
        <v>134</v>
      </c>
      <c r="I14" s="24" t="s">
        <v>69</v>
      </c>
      <c r="J14" s="24" t="s">
        <v>135</v>
      </c>
      <c r="K14" s="24" t="s">
        <v>71</v>
      </c>
      <c r="L14" s="17" t="s">
        <v>72</v>
      </c>
      <c r="M14" s="18"/>
      <c r="N14" s="18"/>
      <c r="O14" s="18"/>
      <c r="P14" s="17" t="s">
        <v>136</v>
      </c>
    </row>
    <row r="15" customFormat="false" ht="34.5" hidden="false" customHeight="true" outlineLevel="0" collapsed="false">
      <c r="A15" s="23" t="n">
        <v>46338</v>
      </c>
      <c r="B15" s="24" t="s">
        <v>97</v>
      </c>
      <c r="C15" s="24" t="s">
        <v>75</v>
      </c>
      <c r="D15" s="24" t="s">
        <v>116</v>
      </c>
      <c r="E15" s="19" t="s">
        <v>76</v>
      </c>
      <c r="F15" s="25" t="s">
        <v>137</v>
      </c>
      <c r="G15" s="24" t="s">
        <v>138</v>
      </c>
      <c r="H15" s="24" t="s">
        <v>139</v>
      </c>
      <c r="I15" s="24" t="s">
        <v>69</v>
      </c>
      <c r="J15" s="24" t="s">
        <v>140</v>
      </c>
      <c r="K15" s="24" t="s">
        <v>71</v>
      </c>
      <c r="L15" s="17" t="s">
        <v>72</v>
      </c>
      <c r="M15" s="18"/>
      <c r="N15" s="18"/>
      <c r="O15" s="18"/>
      <c r="P15" s="17" t="s">
        <v>141</v>
      </c>
    </row>
    <row r="16" customFormat="false" ht="34.5" hidden="false" customHeight="true" outlineLevel="0" collapsed="false">
      <c r="A16" s="23" t="n">
        <v>46339</v>
      </c>
      <c r="B16" s="24" t="s">
        <v>103</v>
      </c>
      <c r="C16" s="24" t="s">
        <v>75</v>
      </c>
      <c r="D16" s="24" t="s">
        <v>116</v>
      </c>
      <c r="E16" s="20" t="s">
        <v>83</v>
      </c>
      <c r="F16" s="25" t="s">
        <v>142</v>
      </c>
      <c r="G16" s="24" t="s">
        <v>143</v>
      </c>
      <c r="H16" s="24" t="s">
        <v>144</v>
      </c>
      <c r="I16" s="24" t="s">
        <v>87</v>
      </c>
      <c r="J16" s="24" t="s">
        <v>107</v>
      </c>
      <c r="K16" s="24" t="s">
        <v>71</v>
      </c>
      <c r="L16" s="17" t="s">
        <v>72</v>
      </c>
      <c r="M16" s="18"/>
      <c r="N16" s="18"/>
      <c r="O16" s="18"/>
      <c r="P16" s="17" t="s">
        <v>145</v>
      </c>
    </row>
    <row r="17" customFormat="false" ht="34.5" hidden="false" customHeight="true" outlineLevel="0" collapsed="false">
      <c r="A17" s="23" t="n">
        <v>46340</v>
      </c>
      <c r="B17" s="24" t="s">
        <v>109</v>
      </c>
      <c r="C17" s="24" t="s">
        <v>63</v>
      </c>
      <c r="D17" s="24" t="s">
        <v>116</v>
      </c>
      <c r="E17" s="26" t="s">
        <v>146</v>
      </c>
      <c r="F17" s="25" t="s">
        <v>147</v>
      </c>
      <c r="G17" s="24" t="s">
        <v>148</v>
      </c>
      <c r="H17" s="24" t="s">
        <v>149</v>
      </c>
      <c r="I17" s="24" t="s">
        <v>69</v>
      </c>
      <c r="J17" s="24" t="s">
        <v>150</v>
      </c>
      <c r="K17" s="24" t="s">
        <v>71</v>
      </c>
      <c r="L17" s="17" t="s">
        <v>72</v>
      </c>
      <c r="M17" s="18"/>
      <c r="N17" s="18"/>
      <c r="O17" s="18"/>
      <c r="P17" s="17" t="s">
        <v>151</v>
      </c>
    </row>
    <row r="18" customFormat="false" ht="34.5" hidden="false" customHeight="true" outlineLevel="0" collapsed="false">
      <c r="A18" s="13" t="n">
        <v>46341</v>
      </c>
      <c r="B18" s="14" t="s">
        <v>62</v>
      </c>
      <c r="C18" s="14" t="s">
        <v>63</v>
      </c>
      <c r="D18" s="14" t="s">
        <v>152</v>
      </c>
      <c r="E18" s="15" t="s">
        <v>65</v>
      </c>
      <c r="F18" s="16" t="s">
        <v>153</v>
      </c>
      <c r="G18" s="14" t="s">
        <v>154</v>
      </c>
      <c r="H18" s="14" t="s">
        <v>155</v>
      </c>
      <c r="I18" s="14" t="s">
        <v>87</v>
      </c>
      <c r="J18" s="14" t="s">
        <v>114</v>
      </c>
      <c r="K18" s="14" t="s">
        <v>71</v>
      </c>
      <c r="L18" s="17" t="s">
        <v>72</v>
      </c>
      <c r="M18" s="18"/>
      <c r="N18" s="18"/>
      <c r="O18" s="18"/>
      <c r="P18" s="17" t="s">
        <v>156</v>
      </c>
    </row>
    <row r="19" customFormat="false" ht="34.5" hidden="false" customHeight="true" outlineLevel="0" collapsed="false">
      <c r="A19" s="13" t="n">
        <v>46342</v>
      </c>
      <c r="B19" s="14" t="s">
        <v>74</v>
      </c>
      <c r="C19" s="14" t="s">
        <v>75</v>
      </c>
      <c r="D19" s="14" t="s">
        <v>152</v>
      </c>
      <c r="E19" s="21" t="s">
        <v>91</v>
      </c>
      <c r="F19" s="16" t="s">
        <v>157</v>
      </c>
      <c r="G19" s="14" t="s">
        <v>158</v>
      </c>
      <c r="H19" s="14" t="s">
        <v>159</v>
      </c>
      <c r="I19" s="14" t="s">
        <v>160</v>
      </c>
      <c r="J19" s="14" t="s">
        <v>95</v>
      </c>
      <c r="K19" s="14" t="s">
        <v>71</v>
      </c>
      <c r="L19" s="17" t="s">
        <v>72</v>
      </c>
      <c r="M19" s="18"/>
      <c r="N19" s="18"/>
      <c r="O19" s="18"/>
      <c r="P19" s="17" t="s">
        <v>161</v>
      </c>
    </row>
    <row r="20" customFormat="false" ht="34.5" hidden="false" customHeight="true" outlineLevel="0" collapsed="false">
      <c r="A20" s="13" t="n">
        <v>46343</v>
      </c>
      <c r="B20" s="14" t="s">
        <v>82</v>
      </c>
      <c r="C20" s="14" t="s">
        <v>75</v>
      </c>
      <c r="D20" s="14" t="s">
        <v>152</v>
      </c>
      <c r="E20" s="20" t="s">
        <v>83</v>
      </c>
      <c r="F20" s="16" t="s">
        <v>162</v>
      </c>
      <c r="G20" s="14" t="s">
        <v>163</v>
      </c>
      <c r="H20" s="14" t="s">
        <v>164</v>
      </c>
      <c r="I20" s="14" t="s">
        <v>69</v>
      </c>
      <c r="J20" s="14" t="s">
        <v>165</v>
      </c>
      <c r="K20" s="14" t="s">
        <v>71</v>
      </c>
      <c r="L20" s="17" t="s">
        <v>72</v>
      </c>
      <c r="M20" s="18"/>
      <c r="N20" s="18"/>
      <c r="O20" s="18"/>
      <c r="P20" s="17" t="s">
        <v>166</v>
      </c>
    </row>
    <row r="21" customFormat="false" ht="34.5" hidden="false" customHeight="true" outlineLevel="0" collapsed="false">
      <c r="A21" s="13" t="n">
        <v>46344</v>
      </c>
      <c r="B21" s="14" t="s">
        <v>90</v>
      </c>
      <c r="C21" s="14" t="s">
        <v>75</v>
      </c>
      <c r="D21" s="14" t="s">
        <v>152</v>
      </c>
      <c r="E21" s="21" t="s">
        <v>91</v>
      </c>
      <c r="F21" s="16" t="s">
        <v>167</v>
      </c>
      <c r="G21" s="14" t="s">
        <v>168</v>
      </c>
      <c r="H21" s="14" t="s">
        <v>169</v>
      </c>
      <c r="I21" s="14" t="s">
        <v>160</v>
      </c>
      <c r="J21" s="14" t="s">
        <v>170</v>
      </c>
      <c r="K21" s="14" t="s">
        <v>71</v>
      </c>
      <c r="L21" s="17" t="s">
        <v>72</v>
      </c>
      <c r="M21" s="18"/>
      <c r="N21" s="18"/>
      <c r="O21" s="18"/>
      <c r="P21" s="17" t="s">
        <v>171</v>
      </c>
    </row>
    <row r="22" customFormat="false" ht="34.5" hidden="false" customHeight="true" outlineLevel="0" collapsed="false">
      <c r="A22" s="13" t="n">
        <v>46345</v>
      </c>
      <c r="B22" s="14" t="s">
        <v>97</v>
      </c>
      <c r="C22" s="14" t="s">
        <v>75</v>
      </c>
      <c r="D22" s="14" t="s">
        <v>152</v>
      </c>
      <c r="E22" s="20" t="s">
        <v>83</v>
      </c>
      <c r="F22" s="16" t="s">
        <v>172</v>
      </c>
      <c r="G22" s="14" t="s">
        <v>173</v>
      </c>
      <c r="H22" s="14" t="s">
        <v>174</v>
      </c>
      <c r="I22" s="14" t="s">
        <v>69</v>
      </c>
      <c r="J22" s="14" t="s">
        <v>107</v>
      </c>
      <c r="K22" s="14" t="s">
        <v>71</v>
      </c>
      <c r="L22" s="17" t="s">
        <v>72</v>
      </c>
      <c r="M22" s="18"/>
      <c r="N22" s="18"/>
      <c r="O22" s="18"/>
      <c r="P22" s="17" t="s">
        <v>175</v>
      </c>
    </row>
    <row r="23" customFormat="false" ht="34.5" hidden="false" customHeight="true" outlineLevel="0" collapsed="false">
      <c r="A23" s="13" t="n">
        <v>46346</v>
      </c>
      <c r="B23" s="14" t="s">
        <v>103</v>
      </c>
      <c r="C23" s="14" t="s">
        <v>75</v>
      </c>
      <c r="D23" s="14" t="s">
        <v>152</v>
      </c>
      <c r="E23" s="21" t="s">
        <v>91</v>
      </c>
      <c r="F23" s="16" t="s">
        <v>176</v>
      </c>
      <c r="G23" s="14" t="s">
        <v>177</v>
      </c>
      <c r="H23" s="14" t="s">
        <v>178</v>
      </c>
      <c r="I23" s="14" t="s">
        <v>87</v>
      </c>
      <c r="J23" s="14" t="s">
        <v>179</v>
      </c>
      <c r="K23" s="14" t="s">
        <v>71</v>
      </c>
      <c r="L23" s="17" t="s">
        <v>72</v>
      </c>
      <c r="M23" s="18"/>
      <c r="N23" s="18"/>
      <c r="O23" s="18"/>
      <c r="P23" s="17" t="s">
        <v>180</v>
      </c>
    </row>
    <row r="24" customFormat="false" ht="34.5" hidden="false" customHeight="true" outlineLevel="0" collapsed="false">
      <c r="A24" s="13" t="n">
        <v>46347</v>
      </c>
      <c r="B24" s="14" t="s">
        <v>109</v>
      </c>
      <c r="C24" s="14" t="s">
        <v>63</v>
      </c>
      <c r="D24" s="14" t="s">
        <v>152</v>
      </c>
      <c r="E24" s="22" t="s">
        <v>110</v>
      </c>
      <c r="F24" s="16" t="s">
        <v>181</v>
      </c>
      <c r="G24" s="14" t="s">
        <v>182</v>
      </c>
      <c r="H24" s="14" t="s">
        <v>183</v>
      </c>
      <c r="I24" s="14" t="s">
        <v>69</v>
      </c>
      <c r="J24" s="14" t="s">
        <v>114</v>
      </c>
      <c r="K24" s="14" t="s">
        <v>71</v>
      </c>
      <c r="L24" s="17" t="s">
        <v>72</v>
      </c>
      <c r="M24" s="18"/>
      <c r="N24" s="18"/>
      <c r="O24" s="18"/>
      <c r="P24" s="17" t="s">
        <v>184</v>
      </c>
    </row>
    <row r="25" customFormat="false" ht="34.5" hidden="false" customHeight="true" outlineLevel="0" collapsed="false">
      <c r="A25" s="23" t="n">
        <v>46348</v>
      </c>
      <c r="B25" s="24" t="s">
        <v>62</v>
      </c>
      <c r="C25" s="24" t="s">
        <v>63</v>
      </c>
      <c r="D25" s="24" t="s">
        <v>185</v>
      </c>
      <c r="E25" s="27" t="s">
        <v>186</v>
      </c>
      <c r="F25" s="25" t="s">
        <v>187</v>
      </c>
      <c r="G25" s="24" t="s">
        <v>188</v>
      </c>
      <c r="H25" s="24" t="s">
        <v>189</v>
      </c>
      <c r="I25" s="24" t="s">
        <v>160</v>
      </c>
      <c r="J25" s="24" t="s">
        <v>190</v>
      </c>
      <c r="K25" s="24" t="s">
        <v>71</v>
      </c>
      <c r="L25" s="17" t="s">
        <v>72</v>
      </c>
      <c r="M25" s="18"/>
      <c r="N25" s="18"/>
      <c r="O25" s="18"/>
      <c r="P25" s="17" t="s">
        <v>191</v>
      </c>
    </row>
    <row r="26" customFormat="false" ht="34.5" hidden="false" customHeight="true" outlineLevel="0" collapsed="false">
      <c r="A26" s="23" t="n">
        <v>46349</v>
      </c>
      <c r="B26" s="24" t="s">
        <v>74</v>
      </c>
      <c r="C26" s="24" t="s">
        <v>75</v>
      </c>
      <c r="D26" s="24" t="s">
        <v>185</v>
      </c>
      <c r="E26" s="20" t="s">
        <v>83</v>
      </c>
      <c r="F26" s="25" t="s">
        <v>192</v>
      </c>
      <c r="G26" s="24" t="s">
        <v>193</v>
      </c>
      <c r="H26" s="24" t="s">
        <v>194</v>
      </c>
      <c r="I26" s="24" t="s">
        <v>160</v>
      </c>
      <c r="J26" s="24" t="s">
        <v>195</v>
      </c>
      <c r="K26" s="24" t="s">
        <v>71</v>
      </c>
      <c r="L26" s="17" t="s">
        <v>72</v>
      </c>
      <c r="M26" s="18"/>
      <c r="N26" s="18"/>
      <c r="O26" s="18"/>
      <c r="P26" s="17" t="s">
        <v>196</v>
      </c>
    </row>
    <row r="27" customFormat="false" ht="34.5" hidden="false" customHeight="true" outlineLevel="0" collapsed="false">
      <c r="A27" s="23" t="n">
        <v>46350</v>
      </c>
      <c r="B27" s="24" t="s">
        <v>82</v>
      </c>
      <c r="C27" s="24" t="s">
        <v>75</v>
      </c>
      <c r="D27" s="24" t="s">
        <v>185</v>
      </c>
      <c r="E27" s="21" t="s">
        <v>91</v>
      </c>
      <c r="F27" s="25" t="s">
        <v>197</v>
      </c>
      <c r="G27" s="24" t="s">
        <v>198</v>
      </c>
      <c r="H27" s="24" t="s">
        <v>199</v>
      </c>
      <c r="I27" s="24" t="s">
        <v>160</v>
      </c>
      <c r="J27" s="24" t="s">
        <v>179</v>
      </c>
      <c r="K27" s="24" t="s">
        <v>71</v>
      </c>
      <c r="L27" s="17" t="s">
        <v>72</v>
      </c>
      <c r="M27" s="18"/>
      <c r="N27" s="18"/>
      <c r="O27" s="18"/>
      <c r="P27" s="17" t="s">
        <v>200</v>
      </c>
    </row>
    <row r="28" customFormat="false" ht="34.5" hidden="false" customHeight="true" outlineLevel="0" collapsed="false">
      <c r="A28" s="23" t="n">
        <v>46351</v>
      </c>
      <c r="B28" s="24" t="s">
        <v>90</v>
      </c>
      <c r="C28" s="24" t="s">
        <v>75</v>
      </c>
      <c r="D28" s="24" t="s">
        <v>185</v>
      </c>
      <c r="E28" s="19" t="s">
        <v>76</v>
      </c>
      <c r="F28" s="25" t="s">
        <v>201</v>
      </c>
      <c r="G28" s="24" t="s">
        <v>202</v>
      </c>
      <c r="H28" s="24" t="s">
        <v>203</v>
      </c>
      <c r="I28" s="24" t="s">
        <v>69</v>
      </c>
      <c r="J28" s="24" t="s">
        <v>204</v>
      </c>
      <c r="K28" s="24" t="s">
        <v>71</v>
      </c>
      <c r="L28" s="17" t="s">
        <v>72</v>
      </c>
      <c r="M28" s="18"/>
      <c r="N28" s="18"/>
      <c r="O28" s="18"/>
      <c r="P28" s="17" t="s">
        <v>205</v>
      </c>
    </row>
    <row r="29" customFormat="false" ht="34.5" hidden="false" customHeight="true" outlineLevel="0" collapsed="false">
      <c r="A29" s="23" t="n">
        <v>46352</v>
      </c>
      <c r="B29" s="24" t="s">
        <v>97</v>
      </c>
      <c r="C29" s="24" t="s">
        <v>75</v>
      </c>
      <c r="D29" s="24" t="s">
        <v>185</v>
      </c>
      <c r="E29" s="20" t="s">
        <v>83</v>
      </c>
      <c r="F29" s="25" t="s">
        <v>206</v>
      </c>
      <c r="G29" s="24" t="s">
        <v>207</v>
      </c>
      <c r="H29" s="24" t="s">
        <v>208</v>
      </c>
      <c r="I29" s="24" t="s">
        <v>87</v>
      </c>
      <c r="J29" s="24" t="s">
        <v>107</v>
      </c>
      <c r="K29" s="24" t="s">
        <v>71</v>
      </c>
      <c r="L29" s="17" t="s">
        <v>72</v>
      </c>
      <c r="M29" s="18"/>
      <c r="N29" s="18"/>
      <c r="O29" s="18"/>
      <c r="P29" s="17" t="s">
        <v>209</v>
      </c>
    </row>
    <row r="30" customFormat="false" ht="34.5" hidden="false" customHeight="true" outlineLevel="0" collapsed="false">
      <c r="A30" s="23" t="n">
        <v>46353</v>
      </c>
      <c r="B30" s="24" t="s">
        <v>103</v>
      </c>
      <c r="C30" s="24" t="s">
        <v>210</v>
      </c>
      <c r="D30" s="24" t="s">
        <v>185</v>
      </c>
      <c r="E30" s="26" t="s">
        <v>146</v>
      </c>
      <c r="F30" s="25" t="s">
        <v>211</v>
      </c>
      <c r="G30" s="24" t="s">
        <v>212</v>
      </c>
      <c r="H30" s="24" t="s">
        <v>213</v>
      </c>
      <c r="I30" s="24" t="s">
        <v>214</v>
      </c>
      <c r="J30" s="24" t="s">
        <v>215</v>
      </c>
      <c r="K30" s="24" t="s">
        <v>71</v>
      </c>
      <c r="L30" s="17" t="s">
        <v>72</v>
      </c>
      <c r="M30" s="18"/>
      <c r="N30" s="18"/>
      <c r="O30" s="18"/>
      <c r="P30" s="17" t="s">
        <v>216</v>
      </c>
    </row>
    <row r="31" customFormat="false" ht="34.5" hidden="false" customHeight="true" outlineLevel="0" collapsed="false">
      <c r="A31" s="23" t="n">
        <v>46354</v>
      </c>
      <c r="B31" s="24" t="s">
        <v>109</v>
      </c>
      <c r="C31" s="24" t="s">
        <v>63</v>
      </c>
      <c r="D31" s="24" t="s">
        <v>185</v>
      </c>
      <c r="E31" s="22" t="s">
        <v>110</v>
      </c>
      <c r="F31" s="25" t="s">
        <v>217</v>
      </c>
      <c r="G31" s="24" t="s">
        <v>218</v>
      </c>
      <c r="H31" s="24" t="s">
        <v>219</v>
      </c>
      <c r="I31" s="24" t="s">
        <v>160</v>
      </c>
      <c r="J31" s="24" t="s">
        <v>114</v>
      </c>
      <c r="K31" s="24" t="s">
        <v>71</v>
      </c>
      <c r="L31" s="17" t="s">
        <v>72</v>
      </c>
      <c r="M31" s="18"/>
      <c r="N31" s="18"/>
      <c r="O31" s="18"/>
      <c r="P31" s="17" t="s">
        <v>220</v>
      </c>
    </row>
    <row r="32" customFormat="false" ht="34.5" hidden="false" customHeight="true" outlineLevel="0" collapsed="false">
      <c r="A32" s="23" t="n">
        <v>46355</v>
      </c>
      <c r="B32" s="24" t="s">
        <v>62</v>
      </c>
      <c r="C32" s="24" t="s">
        <v>63</v>
      </c>
      <c r="D32" s="24" t="s">
        <v>185</v>
      </c>
      <c r="E32" s="15" t="s">
        <v>65</v>
      </c>
      <c r="F32" s="25" t="s">
        <v>221</v>
      </c>
      <c r="G32" s="24" t="s">
        <v>222</v>
      </c>
      <c r="H32" s="24" t="s">
        <v>223</v>
      </c>
      <c r="I32" s="24" t="s">
        <v>224</v>
      </c>
      <c r="J32" s="24" t="s">
        <v>225</v>
      </c>
      <c r="K32" s="24" t="s">
        <v>71</v>
      </c>
      <c r="L32" s="17" t="s">
        <v>72</v>
      </c>
      <c r="M32" s="18"/>
      <c r="N32" s="18"/>
      <c r="O32" s="18"/>
      <c r="P32" s="17" t="s">
        <v>226</v>
      </c>
    </row>
    <row r="33" customFormat="false" ht="34.5" hidden="false" customHeight="true" outlineLevel="0" collapsed="false">
      <c r="A33" s="23" t="n">
        <v>46356</v>
      </c>
      <c r="B33" s="24" t="s">
        <v>74</v>
      </c>
      <c r="C33" s="24" t="s">
        <v>75</v>
      </c>
      <c r="D33" s="24" t="s">
        <v>185</v>
      </c>
      <c r="E33" s="27" t="s">
        <v>186</v>
      </c>
      <c r="F33" s="25" t="s">
        <v>227</v>
      </c>
      <c r="G33" s="24" t="s">
        <v>228</v>
      </c>
      <c r="H33" s="24" t="s">
        <v>229</v>
      </c>
      <c r="I33" s="24" t="s">
        <v>69</v>
      </c>
      <c r="J33" s="24" t="s">
        <v>165</v>
      </c>
      <c r="K33" s="24" t="s">
        <v>71</v>
      </c>
      <c r="L33" s="17" t="s">
        <v>72</v>
      </c>
      <c r="M33" s="18"/>
      <c r="N33" s="18"/>
      <c r="O33" s="18"/>
      <c r="P33" s="17" t="s">
        <v>230</v>
      </c>
    </row>
  </sheetData>
  <autoFilter ref="A3:P33"/>
  <dataValidations count="1">
    <dataValidation allowBlank="true" errorStyle="stop" operator="between" showDropDown="false" showErrorMessage="false" showInputMessage="false" sqref="L4:L33" type="list">
      <formula1>"Ide,Rekam,Edit,Terjadwal,Tayang"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80"/>
  </cols>
  <sheetData>
    <row r="1" customFormat="false" ht="15.75" hidden="false" customHeight="true" outlineLevel="0" collapsed="false">
      <c r="A1" s="28" t="s">
        <v>231</v>
      </c>
    </row>
    <row r="3" customFormat="false" ht="15" hidden="false" customHeight="true" outlineLevel="0" collapsed="false">
      <c r="A3" s="6" t="s">
        <v>34</v>
      </c>
      <c r="B3" s="3" t="s">
        <v>232</v>
      </c>
    </row>
    <row r="4" customFormat="false" ht="15" hidden="false" customHeight="true" outlineLevel="0" collapsed="false">
      <c r="A4" s="6" t="s">
        <v>34</v>
      </c>
      <c r="B4" s="3" t="s">
        <v>233</v>
      </c>
    </row>
    <row r="5" customFormat="false" ht="15" hidden="false" customHeight="true" outlineLevel="0" collapsed="false">
      <c r="A5" s="6" t="s">
        <v>34</v>
      </c>
      <c r="B5" s="3" t="s">
        <v>234</v>
      </c>
    </row>
    <row r="6" customFormat="false" ht="15" hidden="false" customHeight="true" outlineLevel="0" collapsed="false">
      <c r="A6" s="6" t="s">
        <v>34</v>
      </c>
      <c r="B6" s="3" t="s">
        <v>235</v>
      </c>
    </row>
    <row r="7" customFormat="false" ht="15" hidden="false" customHeight="true" outlineLevel="0" collapsed="false">
      <c r="A7" s="6" t="s">
        <v>34</v>
      </c>
      <c r="B7" s="3" t="s">
        <v>236</v>
      </c>
    </row>
    <row r="8" customFormat="false" ht="15" hidden="false" customHeight="true" outlineLevel="0" collapsed="false">
      <c r="A8" s="6" t="s">
        <v>237</v>
      </c>
      <c r="B8" s="3" t="s">
        <v>238</v>
      </c>
    </row>
    <row r="9" customFormat="false" ht="15" hidden="false" customHeight="true" outlineLevel="0" collapsed="false">
      <c r="A9" s="6" t="s">
        <v>237</v>
      </c>
      <c r="B9" s="3" t="s">
        <v>239</v>
      </c>
    </row>
    <row r="10" customFormat="false" ht="15" hidden="false" customHeight="true" outlineLevel="0" collapsed="false">
      <c r="A10" s="6" t="s">
        <v>237</v>
      </c>
      <c r="B10" s="3" t="s">
        <v>240</v>
      </c>
    </row>
    <row r="11" customFormat="false" ht="15" hidden="false" customHeight="true" outlineLevel="0" collapsed="false">
      <c r="A11" s="6" t="s">
        <v>237</v>
      </c>
      <c r="B11" s="3" t="s">
        <v>241</v>
      </c>
    </row>
    <row r="12" customFormat="false" ht="15" hidden="false" customHeight="true" outlineLevel="0" collapsed="false">
      <c r="A12" s="6" t="s">
        <v>237</v>
      </c>
      <c r="B12" s="3" t="s">
        <v>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2026-10-23T09:14:02Z</dcterms:created>
  <dc:creator>openpyxl</dc:creator>
  <dc:description/>
  <dc:language>en-US</dc:language>
  <cp:lastModifiedBy/>
  <dcterms:modified xsi:type="dcterms:W3CDTF">2026-10-23T09:35:30Z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